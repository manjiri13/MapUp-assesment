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NJIRI\Documents\venv\Mapup\MapUp-Data-Assessment-E\"/>
    </mc:Choice>
  </mc:AlternateContent>
  <xr:revisionPtr revIDLastSave="0" documentId="13_ncr:1_{62065751-A9C4-443C-9EA3-929E58D15678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 a="1"/>
  <c r="C22" i="19"/>
  <c r="C30" i="18"/>
  <c r="D30" i="18"/>
  <c r="E30" i="18"/>
  <c r="F30" i="18"/>
  <c r="C29" i="18"/>
  <c r="D29" i="18"/>
  <c r="E29" i="18"/>
  <c r="F29" i="18"/>
  <c r="D28" i="18"/>
  <c r="E28" i="18"/>
  <c r="F28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7" i="18"/>
  <c r="C8" i="18"/>
  <c r="C9" i="18"/>
  <c r="F6" i="18"/>
  <c r="E6" i="18"/>
  <c r="D6" i="18"/>
  <c r="C6" i="18"/>
  <c r="B6" i="18"/>
  <c r="B7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8" i="18"/>
  <c r="B9" i="18"/>
  <c r="C5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<sst xmlns="http://schemas.openxmlformats.org/spreadsheetml/2006/main" count="436" uniqueCount="188">
  <si>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</si>
  <si>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</si>
  <si>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</si>
  <si>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</si>
  <si>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</si>
  <si>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</si>
  <si>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</si>
  <si>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</si>
  <si>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</si>
  <si>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</si>
  <si>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</si>
  <si>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</si>
  <si>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</si>
  <si>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</si>
  <si>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</si>
  <si>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</si>
  <si>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</si>
  <si>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</si>
  <si>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</si>
  <si>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</si>
  <si>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</si>
  <si>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</si>
  <si>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</si>
  <si>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</si>
  <si>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</si>
  <si>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</si>
  <si>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</si>
  <si>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</si>
  <si>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</si>
  <si>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</si>
  <si>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</si>
  <si>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</si>
  <si>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</si>
  <si>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</si>
  <si>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</si>
  <si>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</si>
  <si>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</si>
  <si>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</si>
  <si>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</si>
  <si>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</si>
  <si>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</si>
  <si>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</si>
  <si>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</si>
  <si>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</si>
  <si>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</si>
  <si>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</si>
  <si>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</si>
  <si>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</si>
  <si>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</si>
  <si>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</si>
  <si>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</si>
  <si>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</si>
  <si>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</si>
  <si>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</si>
  <si>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</si>
  <si>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</si>
  <si>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</si>
  <si>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</si>
  <si>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</si>
  <si>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</si>
  <si>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</si>
  <si>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</si>
  <si>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</si>
  <si>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</si>
  <si>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</si>
  <si>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</si>
  <si>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</si>
  <si>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</si>
  <si>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</si>
  <si>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</si>
  <si>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</si>
  <si>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</si>
  <si>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</si>
  <si>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</si>
  <si>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</si>
  <si>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</si>
  <si>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</si>
  <si>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</si>
  <si>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</si>
  <si>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</si>
  <si>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</si>
  <si>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</si>
  <si>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</si>
  <si>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</si>
  <si>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</si>
  <si>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</si>
  <si>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</si>
  <si>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</si>
  <si>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</si>
  <si>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</si>
  <si>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</si>
  <si>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</si>
  <si>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</si>
  <si>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</si>
  <si>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</si>
  <si>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</si>
  <si>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</si>
  <si>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</si>
  <si>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</si>
  <si>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</si>
  <si>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</si>
  <si>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</si>
  <si>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</si>
  <si>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</si>
  <si>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</si>
  <si>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</si>
  <si>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</si>
  <si>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</si>
  <si>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</si>
  <si>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</si>
  <si>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</si>
  <si>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</si>
  <si>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</si>
  <si>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</si>
  <si>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</si>
  <si>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</si>
  <si>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</si>
  <si>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</si>
  <si>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</si>
  <si>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</si>
  <si>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</si>
  <si>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</si>
  <si>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</si>
  <si>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</si>
  <si>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</si>
  <si>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</si>
  <si>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</si>
  <si>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</si>
  <si>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</si>
  <si>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</si>
  <si>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</si>
  <si>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</si>
  <si>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</si>
  <si>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</si>
  <si>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</si>
  <si>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</si>
  <si>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</si>
  <si>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</si>
  <si>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</si>
  <si>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</si>
  <si>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</si>
  <si>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</si>
  <si>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</si>
  <si>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</si>
  <si>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</si>
  <si>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</si>
  <si>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</si>
  <si>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</si>
  <si>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</si>
  <si>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</si>
  <si>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</si>
  <si>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</si>
  <si>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</si>
  <si>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</si>
  <si>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</si>
  <si>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</si>
  <si>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</si>
  <si>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</si>
  <si>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</si>
  <si>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</si>
  <si>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</si>
  <si>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</si>
  <si>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</si>
  <si>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</si>
  <si>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</si>
  <si>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</si>
  <si>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</si>
  <si>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</si>
  <si>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</si>
  <si>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</si>
  <si>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</si>
  <si>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</si>
  <si>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</si>
  <si>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</si>
  <si>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</si>
  <si>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</si>
  <si>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Red, Green- I used conditional formatting</t>
  </si>
  <si>
    <t>Done using View-&gt; Wndows-&gt; Freeze panels-&gt; top row</t>
  </si>
  <si>
    <t>formatted the cells with specified date format</t>
  </si>
  <si>
    <t xml:space="preserve"> </t>
  </si>
  <si>
    <t>Built in fuctionality from data tools called"text to columns"</t>
  </si>
  <si>
    <t>I selected the cells A15 to A54 whose data I want to split. Went to Data-&gt; Data tools - &gt; text to columns -&gt; selected delimetre as "-" and added the destination as $B column.</t>
  </si>
  <si>
    <t>#formula: =SUM(IFERROR(C12:C21, 20))</t>
  </si>
  <si>
    <t xml:space="preserve">the above formula sums all the data in sales column and if there is an #N/A error then it takes 20 to sum </t>
  </si>
  <si>
    <t>name1</t>
  </si>
  <si>
    <t>name2</t>
  </si>
  <si>
    <t>formula=INDEX($B$10:$J$18,MATCH(D23,$A$10:$A$18,0),MATCH(E23,$B$9:$J$9,0))</t>
  </si>
  <si>
    <t>I created new 2 columns in Table_C as name1, name2 taking values from table_b, then I used match formula to match name1, name2 columns with range of index of table_ausing index fuction.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</si>
</sst>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7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5" x14ac:dyDescent="0.35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54</v>
      </c>
      <c r="B11" s="37">
        <v>30</v>
      </c>
    </row>
    <row r="12" spans="1:3" x14ac:dyDescent="0.3">
      <c r="A12" s="35" t="s">
        <v>55</v>
      </c>
      <c r="B12" s="37">
        <v>10</v>
      </c>
    </row>
    <row r="13" spans="1:3" x14ac:dyDescent="0.3">
      <c r="A13" s="35" t="s">
        <v>84</v>
      </c>
      <c r="B13" s="37">
        <v>20</v>
      </c>
    </row>
    <row r="14" spans="1:3" x14ac:dyDescent="0.3">
      <c r="A14" s="35" t="s">
        <v>97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9" activePane="bottomLeft" state="frozen"/>
      <selection pane="bottomLeft" activeCell="G8" sqref="G8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6" bestFit="1" customWidth="1"/>
    <col min="25" max="25" width="9" style="1" customWidth="1"/>
    <col min="26" max="16384" width="9" style="1"/>
  </cols>
  <sheetData>
    <row r="1" spans="1:24" s="3" customFormat="1" ht="14.75" customHeight="1" x14ac:dyDescent="0.35">
      <c r="A1" s="27" t="s">
        <v>63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78</v>
      </c>
      <c r="H1" s="29" t="s">
        <v>64</v>
      </c>
      <c r="I1" s="29" t="s">
        <v>65</v>
      </c>
      <c r="J1" s="30" t="s">
        <v>66</v>
      </c>
      <c r="K1" s="30" t="s">
        <v>67</v>
      </c>
      <c r="L1" s="30" t="s">
        <v>68</v>
      </c>
      <c r="M1" s="29" t="s">
        <v>69</v>
      </c>
      <c r="N1" s="29" t="s">
        <v>70</v>
      </c>
      <c r="O1" s="29" t="s">
        <v>71</v>
      </c>
      <c r="P1" s="30" t="s">
        <v>72</v>
      </c>
      <c r="Q1" s="30" t="s">
        <v>73</v>
      </c>
      <c r="R1" s="30" t="s">
        <v>74</v>
      </c>
      <c r="S1" s="29" t="s">
        <v>79</v>
      </c>
      <c r="T1" s="29" t="s">
        <v>75</v>
      </c>
      <c r="U1" s="30" t="s">
        <v>80</v>
      </c>
      <c r="V1" s="30" t="s">
        <v>76</v>
      </c>
      <c r="W1" s="30" t="s">
        <v>77</v>
      </c>
      <c r="X1" s="45" t="s">
        <v>104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56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57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6" priority="5"/>
  </conditionalFormatting>
  <conditionalFormatting sqref="B1:B1048576">
    <cfRule type="duplicateValues" dxfId="5" priority="4"/>
  </conditionalFormatting>
  <conditionalFormatting sqref="J2">
    <cfRule type="cellIs" dxfId="4" priority="3" operator="equal">
      <formula>-1</formula>
    </cfRule>
  </conditionalFormatting>
  <conditionalFormatting sqref="A1:X40">
    <cfRule type="cellIs" dxfId="2" priority="2" operator="equal">
      <formula>-1</formula>
    </cfRule>
    <cfRule type="cellIs" dxfId="3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48.796875" style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46</v>
      </c>
      <c r="B1" s="4" t="s">
        <v>47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106</v>
      </c>
      <c r="C3" s="2" t="s">
        <v>176</v>
      </c>
      <c r="E3" s="1">
        <v>5</v>
      </c>
    </row>
    <row r="4" spans="1:5" x14ac:dyDescent="0.35">
      <c r="A4" s="6">
        <v>2</v>
      </c>
      <c r="B4" s="2" t="s">
        <v>45</v>
      </c>
      <c r="C4" s="2" t="s">
        <v>177</v>
      </c>
      <c r="E4" s="1">
        <v>5</v>
      </c>
    </row>
    <row r="5" spans="1:5" x14ac:dyDescent="0.35">
      <c r="A5" s="6">
        <v>3</v>
      </c>
      <c r="B5" s="2" t="s">
        <v>103</v>
      </c>
      <c r="C5" s="34">
        <f>SUMIFS(Dataset!H:H, Dataset!H:H, "&gt;20")</f>
        <v>1473.0000000000002</v>
      </c>
      <c r="E5" s="1">
        <v>10</v>
      </c>
    </row>
    <row r="6" spans="1:5" x14ac:dyDescent="0.35">
      <c r="A6" s="6">
        <v>4</v>
      </c>
      <c r="B6" s="2" t="s">
        <v>105</v>
      </c>
      <c r="C6" s="2" t="s">
        <v>178</v>
      </c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179</v>
      </c>
      <c r="B1" s="41" t="s">
        <v>163</v>
      </c>
    </row>
    <row r="2" spans="1:7" s="41" customFormat="1" ht="21" x14ac:dyDescent="0.5">
      <c r="B2" s="41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161</v>
      </c>
      <c r="B4" s="1"/>
      <c r="C4" s="1"/>
      <c r="D4" s="1"/>
      <c r="E4" s="1"/>
      <c r="F4" s="1"/>
      <c r="G4" s="1"/>
    </row>
    <row r="5" spans="1:7" ht="14.5" x14ac:dyDescent="0.35">
      <c r="A5" s="20" t="s">
        <v>63</v>
      </c>
      <c r="B5" s="21" t="s">
        <v>78</v>
      </c>
      <c r="C5" s="22" t="s">
        <v>70</v>
      </c>
      <c r="D5" s="21" t="s">
        <v>74</v>
      </c>
      <c r="E5" s="22" t="s">
        <v>75</v>
      </c>
      <c r="F5" s="23" t="s">
        <v>76</v>
      </c>
    </row>
    <row r="6" spans="1:7" ht="14.5" x14ac:dyDescent="0.35">
      <c r="A6" s="7" t="s">
        <v>40</v>
      </c>
      <c r="B6" s="12">
        <f>IFERROR(VLOOKUP(A6, Dataset!A:X, 7, FALSE), "")</f>
        <v>2.7</v>
      </c>
      <c r="C6" s="12">
        <f>IFERROR(VLOOKUP(A6, Dataset!A:X, 14, FALSE), "")</f>
        <v>7.6</v>
      </c>
      <c r="D6" s="12">
        <f>IFERROR(VLOOKUP(A6, Dataset!A:X, 18, FALSE), "")</f>
        <v>4.2</v>
      </c>
      <c r="E6" s="12">
        <f>IFERROR(VLOOKUP(A6, Dataset!A:X, 20, FALSE), "")</f>
        <v>8.9</v>
      </c>
      <c r="F6" s="8">
        <f>IFERROR(VLOOKUP(A6, Dataset!A:X, 22, FALSE), "")</f>
        <v>4.2</v>
      </c>
    </row>
    <row r="7" spans="1:7" ht="14.5" x14ac:dyDescent="0.35">
      <c r="A7" s="7" t="s">
        <v>4</v>
      </c>
      <c r="B7" s="12">
        <f>IFERROR(VLOOKUP(A7, Dataset!A:X, 7, FALSE), "")</f>
        <v>2.7</v>
      </c>
      <c r="C7" s="12">
        <f>IFERROR(VLOOKUP(A7, Dataset!A:X, 14, FALSE), "")</f>
        <v>7.6</v>
      </c>
      <c r="D7" s="12">
        <f>IFERROR(VLOOKUP(A7, Dataset!A:X, 18, FALSE), "")</f>
        <v>4.2</v>
      </c>
      <c r="E7" s="12">
        <f>IFERROR(VLOOKUP(A7, Dataset!A:X, 20, FALSE), "")</f>
        <v>8.9</v>
      </c>
      <c r="F7" s="8">
        <f>IFERROR(VLOOKUP(A7, Dataset!A:X, 22, FALSE), "")</f>
        <v>4.2</v>
      </c>
    </row>
    <row r="8" spans="1:7" ht="14.5" x14ac:dyDescent="0.35">
      <c r="A8" s="7" t="s">
        <v>7</v>
      </c>
      <c r="B8" s="12">
        <f>IFERROR(VLOOKUP(A8, Dataset!A:X, 7, FALSE), "")</f>
        <v>3.6</v>
      </c>
      <c r="C8" s="12">
        <f>IFERROR(VLOOKUP(A8, Dataset!A:X, 14, FALSE), "")</f>
        <v>11.1</v>
      </c>
      <c r="D8" s="12">
        <f>IFERROR(VLOOKUP(A8, Dataset!A:X, 18, FALSE), "")</f>
        <v>5.8</v>
      </c>
      <c r="E8" s="12">
        <f>IFERROR(VLOOKUP(A8, Dataset!A:X, 20, FALSE), "")</f>
        <v>12.2</v>
      </c>
      <c r="F8" s="8">
        <f>IFERROR(VLOOKUP(A8, Dataset!A:X, 22, FALSE), "")</f>
        <v>5.8</v>
      </c>
    </row>
    <row r="9" spans="1:7" ht="14.5" x14ac:dyDescent="0.35">
      <c r="A9" s="7" t="s">
        <v>8</v>
      </c>
      <c r="B9" s="12">
        <f>IFERROR(VLOOKUP(A9, Dataset!A:X, 7, FALSE), "")</f>
        <v>4.9000000000000004</v>
      </c>
      <c r="C9" s="12">
        <f>IFERROR(VLOOKUP(A9, Dataset!A:X, 14, FALSE), "")</f>
        <v>13.3</v>
      </c>
      <c r="D9" s="12">
        <f>IFERROR(VLOOKUP(A9, Dataset!A:X, 18, FALSE), "")</f>
        <v>8.1</v>
      </c>
      <c r="E9" s="12">
        <f>IFERROR(VLOOKUP(A9, Dataset!A:X, 20, FALSE), "")</f>
        <v>17</v>
      </c>
      <c r="F9" s="8">
        <f>IFERROR(VLOOKUP(A9, Dataset!A:X, 22, FALSE), "")</f>
        <v>8.1</v>
      </c>
    </row>
    <row r="10" spans="1:7" ht="14.5" x14ac:dyDescent="0.35">
      <c r="A10" s="7" t="s">
        <v>11</v>
      </c>
      <c r="B10" s="12">
        <f>IFERROR(VLOOKUP(A10, Dataset!A:X, 7, FALSE), "")</f>
        <v>9.4</v>
      </c>
      <c r="C10" s="12">
        <f>IFERROR(VLOOKUP(A10, Dataset!A:X, 14, FALSE), "")</f>
        <v>28.3</v>
      </c>
      <c r="D10" s="12">
        <f>IFERROR(VLOOKUP(A10, Dataset!A:X, 18, FALSE), "")</f>
        <v>16.100000000000001</v>
      </c>
      <c r="E10" s="12">
        <f>IFERROR(VLOOKUP(A10, Dataset!A:X, 20, FALSE), "")</f>
        <v>32.799999999999997</v>
      </c>
      <c r="F10" s="8">
        <f>IFERROR(VLOOKUP(A10, Dataset!A:X, 22, FALSE), "")</f>
        <v>16.100000000000001</v>
      </c>
    </row>
    <row r="11" spans="1:7" ht="14.5" x14ac:dyDescent="0.35">
      <c r="A11" s="7" t="s">
        <v>12</v>
      </c>
      <c r="B11" s="12">
        <f>IFERROR(VLOOKUP(A11, Dataset!A:X, 7, FALSE), "")</f>
        <v>11.6</v>
      </c>
      <c r="C11" s="12">
        <f>IFERROR(VLOOKUP(A11, Dataset!A:X, 14, FALSE), "")</f>
        <v>35.200000000000003</v>
      </c>
      <c r="D11" s="12">
        <f>IFERROR(VLOOKUP(A11, Dataset!A:X, 18, FALSE), "")</f>
        <v>21.3</v>
      </c>
      <c r="E11" s="12">
        <f>IFERROR(VLOOKUP(A11, Dataset!A:X, 20, FALSE), "")</f>
        <v>43</v>
      </c>
      <c r="F11" s="8">
        <f>IFERROR(VLOOKUP(A11, Dataset!A:X, 22, FALSE), "")</f>
        <v>21.3</v>
      </c>
    </row>
    <row r="12" spans="1:7" ht="14.5" x14ac:dyDescent="0.35">
      <c r="A12" s="7" t="s">
        <v>14</v>
      </c>
      <c r="B12" s="12">
        <f>IFERROR(VLOOKUP(A12, Dataset!A:X, 7, FALSE), "")</f>
        <v>18.399999999999999</v>
      </c>
      <c r="C12" s="12">
        <f>IFERROR(VLOOKUP(A12, Dataset!A:X, 14, FALSE), "")</f>
        <v>55.6</v>
      </c>
      <c r="D12" s="12">
        <f>IFERROR(VLOOKUP(A12, Dataset!A:X, 18, FALSE), "")</f>
        <v>33.799999999999997</v>
      </c>
      <c r="E12" s="12">
        <f>IFERROR(VLOOKUP(A12, Dataset!A:X, 20, FALSE), "")</f>
        <v>67.900000000000006</v>
      </c>
      <c r="F12" s="8">
        <f>IFERROR(VLOOKUP(A12, Dataset!A:X, 22, FALSE), "")</f>
        <v>33.799999999999997</v>
      </c>
    </row>
    <row r="13" spans="1:7" ht="14.5" x14ac:dyDescent="0.35">
      <c r="A13" s="7" t="s">
        <v>15</v>
      </c>
      <c r="B13" s="12">
        <f>IFERROR(VLOOKUP(A13, Dataset!A:X, 7, FALSE), "")</f>
        <v>0</v>
      </c>
      <c r="C13" s="12">
        <f>IFERROR(VLOOKUP(A13, Dataset!A:X, 14, FALSE), "")</f>
        <v>0</v>
      </c>
      <c r="D13" s="12">
        <f>IFERROR(VLOOKUP(A13, Dataset!A:X, 18, FALSE), "")</f>
        <v>0</v>
      </c>
      <c r="E13" s="12">
        <f>IFERROR(VLOOKUP(A13, Dataset!A:X, 20, FALSE), "")</f>
        <v>0</v>
      </c>
      <c r="F13" s="8">
        <f>IFERROR(VLOOKUP(A13, Dataset!A:X, 22, FALSE), "")</f>
        <v>0</v>
      </c>
    </row>
    <row r="14" spans="1:7" ht="14.5" x14ac:dyDescent="0.35">
      <c r="A14" s="7" t="s">
        <v>16</v>
      </c>
      <c r="B14" s="12">
        <f>IFERROR(VLOOKUP(A14, Dataset!A:X, 7, FALSE), "")</f>
        <v>21.9</v>
      </c>
      <c r="C14" s="12">
        <f>IFERROR(VLOOKUP(A14, Dataset!A:X, 14, FALSE), "")</f>
        <v>61.5</v>
      </c>
      <c r="D14" s="12">
        <f>IFERROR(VLOOKUP(A14, Dataset!A:X, 18, FALSE), "")</f>
        <v>40.1</v>
      </c>
      <c r="E14" s="12">
        <f>IFERROR(VLOOKUP(A14, Dataset!A:X, 20, FALSE), "")</f>
        <v>76.599999999999994</v>
      </c>
      <c r="F14" s="8">
        <f>IFERROR(VLOOKUP(A14, Dataset!A:X, 22, FALSE), "")</f>
        <v>40.1</v>
      </c>
    </row>
    <row r="15" spans="1:7" ht="14.5" x14ac:dyDescent="0.35">
      <c r="A15" s="7" t="s">
        <v>18</v>
      </c>
      <c r="B15" s="12">
        <f>IFERROR(VLOOKUP(A15, Dataset!A:X, 7, FALSE), "")</f>
        <v>26.8</v>
      </c>
      <c r="C15" s="12">
        <f>IFERROR(VLOOKUP(A15, Dataset!A:X, 14, FALSE), "")</f>
        <v>79.599999999999994</v>
      </c>
      <c r="D15" s="12">
        <f>IFERROR(VLOOKUP(A15, Dataset!A:X, 18, FALSE), "")</f>
        <v>47.9</v>
      </c>
      <c r="E15" s="12">
        <f>IFERROR(VLOOKUP(A15, Dataset!A:X, 20, FALSE), "")</f>
        <v>96.8</v>
      </c>
      <c r="F15" s="8">
        <f>IFERROR(VLOOKUP(A15, Dataset!A:X, 22, FALSE), "")</f>
        <v>47.9</v>
      </c>
    </row>
    <row r="16" spans="1:7" ht="14.5" x14ac:dyDescent="0.35">
      <c r="A16" s="7" t="s">
        <v>20</v>
      </c>
      <c r="B16" s="12">
        <f>IFERROR(VLOOKUP(A16, Dataset!A:X, 7, FALSE), "")</f>
        <v>28.5</v>
      </c>
      <c r="C16" s="12">
        <f>IFERROR(VLOOKUP(A16, Dataset!A:X, 14, FALSE), "")</f>
        <v>85.4</v>
      </c>
      <c r="D16" s="12">
        <f>IFERROR(VLOOKUP(A16, Dataset!A:X, 18, FALSE), "")</f>
        <v>52.3</v>
      </c>
      <c r="E16" s="12">
        <f>IFERROR(VLOOKUP(A16, Dataset!A:X, 20, FALSE), "")</f>
        <v>106.1</v>
      </c>
      <c r="F16" s="8">
        <f>IFERROR(VLOOKUP(A16, Dataset!A:X, 22, FALSE), "")</f>
        <v>52.3</v>
      </c>
    </row>
    <row r="17" spans="1:6" ht="14.5" x14ac:dyDescent="0.35">
      <c r="A17" s="7" t="s">
        <v>22</v>
      </c>
      <c r="B17" s="12">
        <f>IFERROR(VLOOKUP(A17, Dataset!A:X, 7, FALSE), "")</f>
        <v>30.7</v>
      </c>
      <c r="C17" s="12">
        <f>IFERROR(VLOOKUP(A17, Dataset!A:X, 14, FALSE), "")</f>
        <v>92.1</v>
      </c>
      <c r="D17" s="12">
        <f>IFERROR(VLOOKUP(A17, Dataset!A:X, 18, FALSE), "")</f>
        <v>57</v>
      </c>
      <c r="E17" s="12">
        <f>IFERROR(VLOOKUP(A17, Dataset!A:X, 20, FALSE), "")</f>
        <v>115.1</v>
      </c>
      <c r="F17" s="8">
        <f>IFERROR(VLOOKUP(A17, Dataset!A:X, 22, FALSE), "")</f>
        <v>57</v>
      </c>
    </row>
    <row r="18" spans="1:6" ht="14.5" x14ac:dyDescent="0.35">
      <c r="A18" s="7" t="s">
        <v>23</v>
      </c>
      <c r="B18" s="12">
        <f>IFERROR(VLOOKUP(A18, Dataset!A:X, 7, FALSE), "")</f>
        <v>33.799999999999997</v>
      </c>
      <c r="C18" s="12">
        <f>IFERROR(VLOOKUP(A18, Dataset!A:X, 14, FALSE), "")</f>
        <v>101.3</v>
      </c>
      <c r="D18" s="12">
        <f>IFERROR(VLOOKUP(A18, Dataset!A:X, 18, FALSE), "")</f>
        <v>61.4</v>
      </c>
      <c r="E18" s="12">
        <f>IFERROR(VLOOKUP(A18, Dataset!A:X, 20, FALSE), "")</f>
        <v>124.4</v>
      </c>
      <c r="F18" s="8">
        <f>IFERROR(VLOOKUP(A18, Dataset!A:X, 22, FALSE), "")</f>
        <v>61.4</v>
      </c>
    </row>
    <row r="19" spans="1:6" ht="14.5" x14ac:dyDescent="0.35">
      <c r="A19" s="7" t="s">
        <v>24</v>
      </c>
      <c r="B19" s="12">
        <f>IFERROR(VLOOKUP(A19, Dataset!A:X, 7, FALSE), "")</f>
        <v>34.700000000000003</v>
      </c>
      <c r="C19" s="12">
        <f>IFERROR(VLOOKUP(A19, Dataset!A:X, 14, FALSE), "")</f>
        <v>106.1</v>
      </c>
      <c r="D19" s="12">
        <f>IFERROR(VLOOKUP(A19, Dataset!A:X, 18, FALSE), "")</f>
        <v>63.6</v>
      </c>
      <c r="E19" s="12">
        <f>IFERROR(VLOOKUP(A19, Dataset!A:X, 20, FALSE), "")</f>
        <v>128.6</v>
      </c>
      <c r="F19" s="8">
        <f>IFERROR(VLOOKUP(A19, Dataset!A:X, 22, FALSE), "")</f>
        <v>63.6</v>
      </c>
    </row>
    <row r="20" spans="1:6" ht="14.5" x14ac:dyDescent="0.35">
      <c r="A20" s="7" t="s">
        <v>28</v>
      </c>
      <c r="B20" s="12">
        <f>IFERROR(VLOOKUP(A20, Dataset!A:X, 7, FALSE), "")</f>
        <v>0</v>
      </c>
      <c r="C20" s="12">
        <f>IFERROR(VLOOKUP(A20, Dataset!A:X, 14, FALSE), "")</f>
        <v>0</v>
      </c>
      <c r="D20" s="12">
        <f>IFERROR(VLOOKUP(A20, Dataset!A:X, 18, FALSE), "")</f>
        <v>0</v>
      </c>
      <c r="E20" s="12">
        <f>IFERROR(VLOOKUP(A20, Dataset!A:X, 20, FALSE), "")</f>
        <v>0</v>
      </c>
      <c r="F20" s="8">
        <f>IFERROR(VLOOKUP(A20, Dataset!A:X, 22, FALSE), "")</f>
        <v>0</v>
      </c>
    </row>
    <row r="21" spans="1:6" ht="14.5" x14ac:dyDescent="0.35">
      <c r="A21" s="7" t="s">
        <v>56</v>
      </c>
      <c r="B21" s="12">
        <f>IFERROR(VLOOKUP(A21, Dataset!A:X, 7, FALSE), "")</f>
        <v>41.3</v>
      </c>
      <c r="C21" s="12">
        <f>IFERROR(VLOOKUP(A21, Dataset!A:X, 14, FALSE), "")</f>
        <v>124.4</v>
      </c>
      <c r="D21" s="12">
        <f>IFERROR(VLOOKUP(A21, Dataset!A:X, 18, FALSE), "")</f>
        <v>75</v>
      </c>
      <c r="E21" s="12">
        <f>IFERROR(VLOOKUP(A21, Dataset!A:X, 20, FALSE), "")</f>
        <v>151.5</v>
      </c>
      <c r="F21" s="8">
        <f>IFERROR(VLOOKUP(A21, Dataset!A:X, 22, FALSE), "")</f>
        <v>75</v>
      </c>
    </row>
    <row r="22" spans="1:6" ht="14.5" x14ac:dyDescent="0.35">
      <c r="A22" s="7" t="s">
        <v>57</v>
      </c>
      <c r="B22" s="12">
        <f>IFERROR(VLOOKUP(A22, Dataset!A:X, 7, FALSE), "")</f>
        <v>-1</v>
      </c>
      <c r="C22" s="12">
        <f>IFERROR(VLOOKUP(A22, Dataset!A:X, 14, FALSE), "")</f>
        <v>-1</v>
      </c>
      <c r="D22" s="12">
        <f>IFERROR(VLOOKUP(A22, Dataset!A:X, 18, FALSE), "")</f>
        <v>-1</v>
      </c>
      <c r="E22" s="12">
        <f>IFERROR(VLOOKUP(A22, Dataset!A:X, 20, FALSE), "")</f>
        <v>-1</v>
      </c>
      <c r="F22" s="8">
        <f>IFERROR(VLOOKUP(A22, Dataset!A:X, 22, FALSE), "")</f>
        <v>-1</v>
      </c>
    </row>
    <row r="23" spans="1:6" ht="14.5" x14ac:dyDescent="0.35">
      <c r="A23" s="7" t="s">
        <v>31</v>
      </c>
      <c r="B23" s="12">
        <f>IFERROR(VLOOKUP(A23, Dataset!A:X, 7, FALSE), "")</f>
        <v>45</v>
      </c>
      <c r="C23" s="12">
        <f>IFERROR(VLOOKUP(A23, Dataset!A:X, 14, FALSE), "")</f>
        <v>133.4</v>
      </c>
      <c r="D23" s="12">
        <f>IFERROR(VLOOKUP(A23, Dataset!A:X, 18, FALSE), "")</f>
        <v>79.400000000000006</v>
      </c>
      <c r="E23" s="12">
        <f>IFERROR(VLOOKUP(A23, Dataset!A:X, 20, FALSE), "")</f>
        <v>160.9</v>
      </c>
      <c r="F23" s="8">
        <f>IFERROR(VLOOKUP(A23, Dataset!A:X, 22, FALSE), "")</f>
        <v>79.400000000000006</v>
      </c>
    </row>
    <row r="24" spans="1:6" ht="14.5" x14ac:dyDescent="0.35">
      <c r="A24" s="7" t="s">
        <v>32</v>
      </c>
      <c r="B24" s="12">
        <f>IFERROR(VLOOKUP(A24, Dataset!A:X, 7, FALSE), "")</f>
        <v>-1</v>
      </c>
      <c r="C24" s="12">
        <f>IFERROR(VLOOKUP(A24, Dataset!A:X, 14, FALSE), "")</f>
        <v>-1</v>
      </c>
      <c r="D24" s="12">
        <f>IFERROR(VLOOKUP(A24, Dataset!A:X, 18, FALSE), "")</f>
        <v>-1</v>
      </c>
      <c r="E24" s="12">
        <f>IFERROR(VLOOKUP(A24, Dataset!A:X, 20, FALSE), "")</f>
        <v>-1</v>
      </c>
      <c r="F24" s="8">
        <f>IFERROR(VLOOKUP(A24, Dataset!A:X, 22, FALSE), "")</f>
        <v>-1</v>
      </c>
    </row>
    <row r="25" spans="1:6" ht="14.5" x14ac:dyDescent="0.35">
      <c r="A25" s="7" t="s">
        <v>34</v>
      </c>
      <c r="B25" s="12">
        <f>IFERROR(VLOOKUP(A25, Dataset!A:X, 7, FALSE), "")</f>
        <v>43.3</v>
      </c>
      <c r="C25" s="12">
        <f>IFERROR(VLOOKUP(A25, Dataset!A:X, 14, FALSE), "")</f>
        <v>128.6</v>
      </c>
      <c r="D25" s="12">
        <f>IFERROR(VLOOKUP(A25, Dataset!A:X, 18, FALSE), "")</f>
        <v>79.400000000000006</v>
      </c>
      <c r="E25" s="12">
        <f>IFERROR(VLOOKUP(A25, Dataset!A:X, 20, FALSE), "")</f>
        <v>160.9</v>
      </c>
      <c r="F25" s="8">
        <f>IFERROR(VLOOKUP(A25, Dataset!A:X, 22, FALSE), "")</f>
        <v>79.400000000000006</v>
      </c>
    </row>
    <row r="26" spans="1:6" ht="14.5" x14ac:dyDescent="0.35">
      <c r="A26" s="7" t="s">
        <v>37</v>
      </c>
      <c r="B26" s="12">
        <f>IFERROR(VLOOKUP(A26, Dataset!A:X, 7, FALSE), "")</f>
        <v>49.1</v>
      </c>
      <c r="C26" s="12">
        <f>IFERROR(VLOOKUP(A26, Dataset!A:X, 14, FALSE), "")</f>
        <v>146.80000000000001</v>
      </c>
      <c r="D26" s="12">
        <f>IFERROR(VLOOKUP(A26, Dataset!A:X, 18, FALSE), "")</f>
        <v>90.9</v>
      </c>
      <c r="E26" s="12">
        <f>IFERROR(VLOOKUP(A26, Dataset!A:X, 20, FALSE), "")</f>
        <v>183.5</v>
      </c>
      <c r="F26" s="8">
        <f>IFERROR(VLOOKUP(A26, Dataset!A:X, 22, FALSE), "")</f>
        <v>90.9</v>
      </c>
    </row>
    <row r="27" spans="1:6" ht="14.5" x14ac:dyDescent="0.35">
      <c r="A27" s="7" t="s">
        <v>39</v>
      </c>
      <c r="B27" s="12">
        <f>IFERROR(VLOOKUP(A27, Dataset!A:X, 7, FALSE), "")</f>
        <v>51.8</v>
      </c>
      <c r="C27" s="12">
        <f>IFERROR(VLOOKUP(A27, Dataset!A:X, 14, FALSE), "")</f>
        <v>156.4</v>
      </c>
      <c r="D27" s="12">
        <f>IFERROR(VLOOKUP(A27, Dataset!A:X, 18, FALSE), "")</f>
        <v>93.1</v>
      </c>
      <c r="E27" s="12">
        <f>IFERROR(VLOOKUP(A27, Dataset!A:X, 20, FALSE), "")</f>
        <v>188.1</v>
      </c>
      <c r="F27" s="8">
        <f>IFERROR(VLOOKUP(A27, Dataset!A:X, 22, FALSE), "")</f>
        <v>93.1</v>
      </c>
    </row>
    <row r="28" spans="1:6" ht="14.5" x14ac:dyDescent="0.35">
      <c r="A28" s="19" t="s">
        <v>81</v>
      </c>
      <c r="B28" s="31">
        <f>MIN(B6:B27)</f>
        <v>-1</v>
      </c>
      <c r="C28" s="31">
        <f>MIN(C6:C27)</f>
        <v>-1</v>
      </c>
      <c r="D28" s="31">
        <f t="shared" ref="D28:F28" si="0">MIN(D6:D27)</f>
        <v>-1</v>
      </c>
      <c r="E28" s="31">
        <f t="shared" si="0"/>
        <v>-1</v>
      </c>
      <c r="F28" s="31">
        <f t="shared" si="0"/>
        <v>-1</v>
      </c>
    </row>
    <row r="29" spans="1:6" ht="14.5" x14ac:dyDescent="0.35">
      <c r="A29" s="19" t="s">
        <v>82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5" x14ac:dyDescent="0.35">
      <c r="A30" s="19" t="s">
        <v>83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8" zoomScaleNormal="100" workbookViewId="0">
      <selection activeCell="A16" sqref="A16"/>
    </sheetView>
  </sheetViews>
  <sheetFormatPr defaultColWidth="11" defaultRowHeight="14.5" x14ac:dyDescent="0.35"/>
  <cols>
    <col min="1" max="1" width="39.796875" style="1" bestFit="1" customWidth="1"/>
    <col min="2" max="2" width="11" style="1" customWidth="1"/>
    <col min="3" max="16384" width="11" style="1"/>
  </cols>
  <sheetData>
    <row r="1" spans="1:10" s="41" customFormat="1" ht="21" x14ac:dyDescent="0.5">
      <c r="A1" s="42" t="s">
        <v>55</v>
      </c>
      <c r="B1" s="41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3" t="s">
        <v>52</v>
      </c>
      <c r="B5" s="40" t="s">
        <v>180</v>
      </c>
    </row>
    <row r="6" spans="1:10" ht="18.5" x14ac:dyDescent="0.45">
      <c r="A6" s="43" t="s">
        <v>152</v>
      </c>
      <c r="B6" s="40" t="s">
        <v>181</v>
      </c>
    </row>
    <row r="7" spans="1:10" ht="18.5" x14ac:dyDescent="0.45">
      <c r="A7" s="43"/>
      <c r="B7" s="40"/>
    </row>
    <row r="9" spans="1:10" ht="23.5" x14ac:dyDescent="0.55000000000000004">
      <c r="A9" s="18" t="s">
        <v>164</v>
      </c>
      <c r="I9" s="2"/>
      <c r="J9" s="2"/>
    </row>
    <row r="10" spans="1:10" x14ac:dyDescent="0.35">
      <c r="A10" s="33" t="s">
        <v>101</v>
      </c>
      <c r="B10" s="17" t="s">
        <v>48</v>
      </c>
      <c r="C10" s="17" t="s">
        <v>49</v>
      </c>
      <c r="D10" s="17" t="s">
        <v>50</v>
      </c>
      <c r="E10" s="17" t="s">
        <v>51</v>
      </c>
      <c r="F10" s="17" t="s">
        <v>53</v>
      </c>
      <c r="I10" s="2"/>
      <c r="J10" s="2"/>
    </row>
    <row r="11" spans="1:10" x14ac:dyDescent="0.3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161</v>
      </c>
    </row>
    <row r="15" spans="1:10" x14ac:dyDescent="0.35">
      <c r="A15" s="14" t="s">
        <v>102</v>
      </c>
      <c r="B15" s="17" t="s">
        <v>48</v>
      </c>
      <c r="C15" s="15" t="s">
        <v>49</v>
      </c>
      <c r="D15" s="17" t="s">
        <v>50</v>
      </c>
      <c r="E15" s="15" t="s">
        <v>51</v>
      </c>
      <c r="F15" s="17" t="s">
        <v>53</v>
      </c>
    </row>
    <row r="16" spans="1:10" x14ac:dyDescent="0.3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F14" sqref="F14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84</v>
      </c>
      <c r="B1" s="41" t="s">
        <v>166</v>
      </c>
    </row>
    <row r="2" spans="1:3" ht="18.5" x14ac:dyDescent="0.45">
      <c r="B2" s="40" t="s">
        <v>165</v>
      </c>
    </row>
    <row r="5" spans="1:3" ht="14.5" x14ac:dyDescent="0.35">
      <c r="B5" s="1" t="s">
        <v>150</v>
      </c>
    </row>
    <row r="6" spans="1:3" ht="14.5" x14ac:dyDescent="0.35">
      <c r="A6" s="3" t="s">
        <v>52</v>
      </c>
      <c r="B6" s="1" t="s">
        <v>182</v>
      </c>
    </row>
    <row r="7" spans="1:3" ht="14.5" x14ac:dyDescent="0.35">
      <c r="A7" s="3" t="s">
        <v>152</v>
      </c>
      <c r="B7" s="1" t="s">
        <v>183</v>
      </c>
    </row>
    <row r="10" spans="1:3" ht="23.5" x14ac:dyDescent="0.55000000000000004">
      <c r="A10" s="18" t="s">
        <v>161</v>
      </c>
    </row>
    <row r="11" spans="1:3" ht="14.5" x14ac:dyDescent="0.35">
      <c r="A11" s="32" t="s">
        <v>85</v>
      </c>
      <c r="B11" s="17" t="s">
        <v>86</v>
      </c>
      <c r="C11" s="17" t="s">
        <v>87</v>
      </c>
    </row>
    <row r="12" spans="1:3" ht="14.5" x14ac:dyDescent="0.35">
      <c r="A12" s="32">
        <v>44927</v>
      </c>
      <c r="B12" s="17" t="s">
        <v>58</v>
      </c>
      <c r="C12" s="17">
        <v>200</v>
      </c>
    </row>
    <row r="13" spans="1:3" ht="14.5" x14ac:dyDescent="0.35">
      <c r="A13" s="32">
        <v>44928</v>
      </c>
      <c r="B13" s="17" t="s">
        <v>59</v>
      </c>
      <c r="C13" s="17" t="e">
        <v>#N/A</v>
      </c>
    </row>
    <row r="14" spans="1:3" ht="14.5" x14ac:dyDescent="0.35">
      <c r="A14" s="32">
        <v>44929</v>
      </c>
      <c r="B14" s="17" t="s">
        <v>60</v>
      </c>
      <c r="C14" s="17">
        <v>50</v>
      </c>
    </row>
    <row r="15" spans="1:3" ht="14.5" x14ac:dyDescent="0.35">
      <c r="A15" s="32">
        <v>44930</v>
      </c>
      <c r="B15" s="17" t="s">
        <v>61</v>
      </c>
      <c r="C15" s="17" t="e">
        <v>#N/A</v>
      </c>
    </row>
    <row r="16" spans="1:3" ht="14.5" x14ac:dyDescent="0.35">
      <c r="A16" s="32">
        <v>44931</v>
      </c>
      <c r="B16" s="17" t="s">
        <v>62</v>
      </c>
      <c r="C16" s="17">
        <v>10</v>
      </c>
    </row>
    <row r="17" spans="1:3" ht="14.5" x14ac:dyDescent="0.35">
      <c r="A17" s="32">
        <v>44932</v>
      </c>
      <c r="B17" s="17" t="s">
        <v>153</v>
      </c>
      <c r="C17" s="17">
        <v>150</v>
      </c>
    </row>
    <row r="18" spans="1:3" ht="14.5" x14ac:dyDescent="0.35">
      <c r="A18" s="32">
        <v>44933</v>
      </c>
      <c r="B18" s="17" t="s">
        <v>154</v>
      </c>
      <c r="C18" s="17">
        <v>80</v>
      </c>
    </row>
    <row r="19" spans="1:3" ht="14.5" x14ac:dyDescent="0.35">
      <c r="A19" s="32">
        <v>44934</v>
      </c>
      <c r="B19" s="17" t="s">
        <v>155</v>
      </c>
      <c r="C19" s="17" t="e">
        <v>#N/A</v>
      </c>
    </row>
    <row r="20" spans="1:3" ht="14.5" x14ac:dyDescent="0.35">
      <c r="A20" s="32">
        <v>44935</v>
      </c>
      <c r="B20" s="17" t="s">
        <v>156</v>
      </c>
      <c r="C20" s="17">
        <v>30</v>
      </c>
    </row>
    <row r="21" spans="1:3" ht="14.5" x14ac:dyDescent="0.35">
      <c r="A21" s="32">
        <v>44936</v>
      </c>
      <c r="B21" s="17" t="s">
        <v>157</v>
      </c>
      <c r="C21" s="17" t="e">
        <v>#N/A</v>
      </c>
    </row>
    <row r="22" spans="1:3" ht="14.5" x14ac:dyDescent="0.35">
      <c r="B22" s="17" t="s">
        <v>158</v>
      </c>
      <c r="C22" s="25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B6" sqref="B6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97</v>
      </c>
      <c r="B1" s="41" t="s">
        <v>174</v>
      </c>
    </row>
    <row r="3" spans="1:14" ht="14.5" x14ac:dyDescent="0.35">
      <c r="B3" s="1" t="s">
        <v>150</v>
      </c>
    </row>
    <row r="4" spans="1:14" ht="18.5" x14ac:dyDescent="0.45">
      <c r="A4" s="43" t="s">
        <v>52</v>
      </c>
      <c r="B4" s="1" t="s">
        <v>186</v>
      </c>
    </row>
    <row r="5" spans="1:14" ht="18.5" x14ac:dyDescent="0.45">
      <c r="A5" s="43" t="s">
        <v>152</v>
      </c>
      <c r="B5" s="1" t="s">
        <v>187</v>
      </c>
    </row>
    <row r="6" spans="1:14" ht="14.5" x14ac:dyDescent="0.35">
      <c r="A6" s="3"/>
      <c r="B6" s="1"/>
    </row>
    <row r="8" spans="1:14" ht="23.5" x14ac:dyDescent="0.55000000000000004">
      <c r="A8" s="18" t="s">
        <v>161</v>
      </c>
      <c r="M8" s="18" t="s">
        <v>162</v>
      </c>
    </row>
    <row r="9" spans="1:14" ht="14.5" x14ac:dyDescent="0.35">
      <c r="A9" s="26"/>
      <c r="B9" s="26" t="s">
        <v>88</v>
      </c>
      <c r="C9" s="26" t="s">
        <v>89</v>
      </c>
      <c r="D9" s="26" t="s">
        <v>90</v>
      </c>
      <c r="E9" s="26" t="s">
        <v>91</v>
      </c>
      <c r="F9" s="26" t="s">
        <v>92</v>
      </c>
      <c r="G9" s="26" t="s">
        <v>93</v>
      </c>
      <c r="H9" s="26" t="s">
        <v>94</v>
      </c>
      <c r="I9" s="26" t="s">
        <v>95</v>
      </c>
      <c r="J9" s="26" t="s">
        <v>96</v>
      </c>
      <c r="M9" s="19" t="s">
        <v>43</v>
      </c>
      <c r="N9" s="19" t="s">
        <v>98</v>
      </c>
    </row>
    <row r="10" spans="1:14" ht="14.5" x14ac:dyDescent="0.35">
      <c r="A10" s="26" t="s">
        <v>88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88</v>
      </c>
    </row>
    <row r="11" spans="1:14" ht="14.5" x14ac:dyDescent="0.35">
      <c r="A11" s="26" t="s">
        <v>89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89</v>
      </c>
    </row>
    <row r="12" spans="1:14" ht="14.5" x14ac:dyDescent="0.35">
      <c r="A12" s="26" t="s">
        <v>90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90</v>
      </c>
    </row>
    <row r="13" spans="1:14" ht="14.5" x14ac:dyDescent="0.35">
      <c r="A13" s="26" t="s">
        <v>91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91</v>
      </c>
    </row>
    <row r="14" spans="1:14" ht="14.5" x14ac:dyDescent="0.35">
      <c r="A14" s="26" t="s">
        <v>92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92</v>
      </c>
    </row>
    <row r="15" spans="1:14" ht="14.5" x14ac:dyDescent="0.35">
      <c r="A15" s="26" t="s">
        <v>93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93</v>
      </c>
    </row>
    <row r="16" spans="1:14" ht="14.5" x14ac:dyDescent="0.35">
      <c r="A16" s="26" t="s">
        <v>94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94</v>
      </c>
    </row>
    <row r="17" spans="1:14" ht="14.5" x14ac:dyDescent="0.35">
      <c r="A17" s="26" t="s">
        <v>95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95</v>
      </c>
    </row>
    <row r="18" spans="1:14" ht="14.5" x14ac:dyDescent="0.35">
      <c r="A18" s="26" t="s">
        <v>96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96</v>
      </c>
    </row>
    <row r="21" spans="1:14" ht="23.5" x14ac:dyDescent="0.55000000000000004">
      <c r="A21" s="18" t="s">
        <v>167</v>
      </c>
    </row>
    <row r="22" spans="1:14" ht="14.5" x14ac:dyDescent="0.35">
      <c r="A22" s="14" t="s">
        <v>99</v>
      </c>
      <c r="B22" s="17" t="s">
        <v>100</v>
      </c>
      <c r="C22" s="16" t="s">
        <v>101</v>
      </c>
      <c r="D22" s="2" t="s">
        <v>184</v>
      </c>
      <c r="E22" s="2" t="s">
        <v>185</v>
      </c>
    </row>
    <row r="23" spans="1:14" ht="14.5" x14ac:dyDescent="0.35">
      <c r="A23" s="7">
        <v>10100</v>
      </c>
      <c r="B23" s="12">
        <v>10102</v>
      </c>
      <c r="C23" s="44">
        <f>INDEX($B$10:$J$18,MATCH(D23,$A$10:$A$18,0),MATCH(E23,$B$9:$J$9,0))</f>
        <v>95</v>
      </c>
      <c r="D23" s="2" t="s">
        <v>88</v>
      </c>
      <c r="E23" s="2" t="s">
        <v>89</v>
      </c>
    </row>
    <row r="24" spans="1:14" ht="14.5" x14ac:dyDescent="0.35">
      <c r="A24" s="7">
        <v>10100</v>
      </c>
      <c r="B24" s="12">
        <v>10104</v>
      </c>
      <c r="C24" s="44">
        <f t="shared" ref="C24:C35" si="0">INDEX($B$10:$J$18,MATCH(D24,$A$10:$A$18,0),MATCH(E24,$B$9:$J$9,0))</f>
        <v>-1</v>
      </c>
      <c r="D24" s="2" t="s">
        <v>88</v>
      </c>
      <c r="E24" s="2" t="s">
        <v>90</v>
      </c>
    </row>
    <row r="25" spans="1:14" ht="14.5" x14ac:dyDescent="0.35">
      <c r="A25" s="7">
        <v>10108</v>
      </c>
      <c r="B25" s="12">
        <v>10102</v>
      </c>
      <c r="C25" s="44">
        <f t="shared" si="0"/>
        <v>160</v>
      </c>
      <c r="D25" s="2" t="s">
        <v>92</v>
      </c>
      <c r="E25" s="2" t="s">
        <v>89</v>
      </c>
    </row>
    <row r="26" spans="1:14" ht="14.5" x14ac:dyDescent="0.35">
      <c r="A26" s="7">
        <v>10100</v>
      </c>
      <c r="B26" s="12">
        <v>10106</v>
      </c>
      <c r="C26" s="44">
        <f t="shared" si="0"/>
        <v>185</v>
      </c>
      <c r="D26" s="2" t="s">
        <v>88</v>
      </c>
      <c r="E26" s="2" t="s">
        <v>91</v>
      </c>
    </row>
    <row r="27" spans="1:14" ht="14.5" x14ac:dyDescent="0.35">
      <c r="A27" s="7">
        <v>10108</v>
      </c>
      <c r="B27" s="12">
        <v>10110</v>
      </c>
      <c r="C27" s="44">
        <f t="shared" si="0"/>
        <v>50</v>
      </c>
      <c r="D27" s="2" t="s">
        <v>92</v>
      </c>
      <c r="E27" s="2" t="s">
        <v>93</v>
      </c>
    </row>
    <row r="28" spans="1:14" ht="14.5" x14ac:dyDescent="0.35">
      <c r="A28" s="7">
        <v>10102</v>
      </c>
      <c r="B28" s="12">
        <v>10104</v>
      </c>
      <c r="C28" s="44">
        <f t="shared" si="0"/>
        <v>-1</v>
      </c>
      <c r="D28" s="2" t="s">
        <v>89</v>
      </c>
      <c r="E28" s="2" t="s">
        <v>90</v>
      </c>
    </row>
    <row r="29" spans="1:14" ht="14.5" x14ac:dyDescent="0.35">
      <c r="A29" s="7">
        <v>10106</v>
      </c>
      <c r="B29" s="12">
        <v>10108</v>
      </c>
      <c r="C29" s="44">
        <f t="shared" si="0"/>
        <v>70</v>
      </c>
      <c r="D29" s="2" t="s">
        <v>91</v>
      </c>
      <c r="E29" s="2" t="s">
        <v>92</v>
      </c>
    </row>
    <row r="30" spans="1:14" ht="14.5" x14ac:dyDescent="0.35">
      <c r="A30" s="7">
        <v>10102</v>
      </c>
      <c r="B30" s="12">
        <v>10106</v>
      </c>
      <c r="C30" s="44">
        <f t="shared" si="0"/>
        <v>90</v>
      </c>
      <c r="D30" s="2" t="s">
        <v>89</v>
      </c>
      <c r="E30" s="2" t="s">
        <v>91</v>
      </c>
    </row>
    <row r="31" spans="1:14" ht="14.5" x14ac:dyDescent="0.35">
      <c r="A31" s="7">
        <v>10110</v>
      </c>
      <c r="B31" s="12">
        <v>10114</v>
      </c>
      <c r="C31" s="44">
        <f t="shared" si="0"/>
        <v>180</v>
      </c>
      <c r="D31" s="2" t="s">
        <v>93</v>
      </c>
      <c r="E31" s="2" t="s">
        <v>95</v>
      </c>
    </row>
    <row r="32" spans="1:14" ht="14.5" x14ac:dyDescent="0.35">
      <c r="A32" s="7">
        <v>10104</v>
      </c>
      <c r="B32" s="12">
        <v>10106</v>
      </c>
      <c r="C32" s="44">
        <f t="shared" si="0"/>
        <v>60</v>
      </c>
      <c r="D32" s="2" t="s">
        <v>90</v>
      </c>
      <c r="E32" s="2" t="s">
        <v>91</v>
      </c>
    </row>
    <row r="33" spans="1:5" ht="14.5" x14ac:dyDescent="0.35">
      <c r="A33" s="7">
        <v>10110</v>
      </c>
      <c r="B33" s="12">
        <v>10112</v>
      </c>
      <c r="C33" s="44">
        <f t="shared" si="0"/>
        <v>115</v>
      </c>
      <c r="D33" s="2" t="s">
        <v>93</v>
      </c>
      <c r="E33" s="2" t="s">
        <v>94</v>
      </c>
    </row>
    <row r="34" spans="1:5" ht="14.5" x14ac:dyDescent="0.35">
      <c r="A34" s="7">
        <v>10100</v>
      </c>
      <c r="B34" s="12">
        <v>10114</v>
      </c>
      <c r="C34" s="44">
        <f t="shared" si="0"/>
        <v>480</v>
      </c>
      <c r="D34" s="2" t="s">
        <v>88</v>
      </c>
      <c r="E34" s="2" t="s">
        <v>95</v>
      </c>
    </row>
    <row r="35" spans="1:5" ht="14.5" x14ac:dyDescent="0.35">
      <c r="A35" s="9">
        <v>10112</v>
      </c>
      <c r="B35" s="13">
        <v>10116</v>
      </c>
      <c r="C35" s="44">
        <f t="shared" si="0"/>
        <v>105</v>
      </c>
      <c r="D35" s="2" t="s">
        <v>94</v>
      </c>
      <c r="E35" s="2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Manjiri Pathak</cp:lastModifiedBy>
  <dcterms:created xsi:type="dcterms:W3CDTF">2015-02-10T17:33:11Z</dcterms:created>
  <dcterms:modified xsi:type="dcterms:W3CDTF">2023-12-10T16:55:52Z</dcterms:modified>
</cp:coreProperties>
</file>